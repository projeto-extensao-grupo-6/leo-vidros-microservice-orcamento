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2"/>
  <workbookPr/>
  <mc:AlternateContent xmlns:mc="http://schemas.openxmlformats.org/markup-compatibility/2006">
    <mc:Choice Requires="x15">
      <x15ac:absPath xmlns:x15ac="http://schemas.microsoft.com/office/spreadsheetml/2010/11/ac" url="C:\Users\Notebook\Desktop\"/>
    </mc:Choice>
  </mc:AlternateContent>
  <xr:revisionPtr revIDLastSave="0" documentId="8_{5AA63BA7-0664-4F5C-94BA-8E5741122227}" xr6:coauthVersionLast="47" xr6:coauthVersionMax="47" xr10:uidLastSave="{00000000-0000-0000-0000-000000000000}"/>
  <bookViews>
    <workbookView xWindow="-120" yWindow="-120" windowWidth="20730" windowHeight="11160" tabRatio="748" xr2:uid="{00000000-000D-0000-FFFF-FFFF00000000}"/>
  </bookViews>
  <sheets>
    <sheet name="Fatura" sheetId="5" r:id="rId1"/>
  </sheets>
  <definedNames>
    <definedName name="Crédito">Fatura!$D$33</definedName>
    <definedName name="Desconto_adicional">Fatura!$D$35</definedName>
    <definedName name="Desconto_aplicado">IF(Fatura!$B1*Fatura!$D1&gt;ValorDoDesconto,1,0)</definedName>
    <definedName name="Imposto">Fatura!$D$34</definedName>
    <definedName name="PercentualDeDesconto">Fatura!#REF!</definedName>
    <definedName name="RegiãoDeTítuloDaColuna1..B12.1">Fatura!$B$7</definedName>
    <definedName name="RegiãoDoTítuloDaLinha1..F4">Fatura!$E$2</definedName>
    <definedName name="RegiãoDoTítuloDaLinha2..F10">Fatura!$D$9</definedName>
    <definedName name="Saldo_devido">(Subtotal-IF(Desconto_adicional&gt;0,Desconto_adicional*Subtotal,0))+(IF(Desconto_adicional&gt;0,Subtotal-(Desconto_adicional*Subtotal),Subtotal)*Imposto)-Crédito</definedName>
    <definedName name="Subtotal">DetalhesDaFatura[[#Totals],[Valor]]</definedName>
    <definedName name="TítuloDaColuna1">DetalhesDaFatura[[#Headers],[Quantidade]]</definedName>
    <definedName name="_xlnm.Print_Titles" localSheetId="0">Fatura!$13:$13</definedName>
    <definedName name="Valor">Fatura!$B1*Fatura!$D1-IF(Fatura!$B1*Fatura!$D1&gt;ValorDoDesconto,1,0)*Fatura!$B1*Fatura!$D1*PercentualDeDesconto</definedName>
    <definedName name="ValorDoDesconto">Fatura!$F$9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5" l="1"/>
  <c r="E19" i="5"/>
  <c r="E16" i="5"/>
  <c r="E17" i="5"/>
  <c r="E18" i="5"/>
  <c r="E21" i="5"/>
  <c r="E22" i="5"/>
  <c r="E23" i="5"/>
  <c r="E24" i="5"/>
  <c r="E25" i="5"/>
  <c r="E26" i="5"/>
  <c r="E27" i="5"/>
  <c r="E28" i="5"/>
  <c r="E29" i="5"/>
  <c r="E30" i="5"/>
  <c r="E31" i="5"/>
  <c r="E15" i="5"/>
  <c r="F29" i="5"/>
  <c r="F30" i="5"/>
  <c r="F28" i="5"/>
  <c r="F31" i="5"/>
  <c r="E14" i="5" l="1"/>
  <c r="F26" i="5"/>
  <c r="F27" i="5"/>
  <c r="E32" i="5" l="1"/>
  <c r="F2" i="5"/>
</calcChain>
</file>

<file path=xl/sharedStrings.xml><?xml version="1.0" encoding="utf-8"?>
<sst xmlns="http://schemas.openxmlformats.org/spreadsheetml/2006/main" count="25" uniqueCount="25">
  <si>
    <t xml:space="preserve">NOTA DE ORÇAMENTO </t>
  </si>
  <si>
    <t>Estrada Pirajussara - Valo Velho, 715</t>
  </si>
  <si>
    <t>Data</t>
  </si>
  <si>
    <t>São Paulo SP   05791-220</t>
  </si>
  <si>
    <t>Telefone: (11) 98722-1343/95374-2947</t>
  </si>
  <si>
    <t>Email: ljsouzaesquadrias@hotmail.com</t>
  </si>
  <si>
    <t>CNPJ: 44.805.163/0001-17</t>
  </si>
  <si>
    <t>Orçamento para:</t>
  </si>
  <si>
    <t>Quantidade</t>
  </si>
  <si>
    <t>Descrição</t>
  </si>
  <si>
    <t>Preço unitário</t>
  </si>
  <si>
    <t>Valor</t>
  </si>
  <si>
    <t>Desconto aplicado</t>
  </si>
  <si>
    <t>Janela de 4 folhas sendo 2 fixas e 2 correm com grade e bandeira na parte superior medindo 1.420X1.420 mm</t>
  </si>
  <si>
    <t xml:space="preserve"> Total</t>
  </si>
  <si>
    <r>
      <rPr>
        <b/>
        <sz val="11"/>
        <color rgb="FF000000"/>
        <rFont val="Arial"/>
        <scheme val="minor"/>
      </rPr>
      <t>Responsável pela obra:</t>
    </r>
    <r>
      <rPr>
        <sz val="11"/>
        <color rgb="FF000000"/>
        <rFont val="Bowlby One SC"/>
      </rPr>
      <t xml:space="preserve">   Léo Vidros e Esquadrias de Alumínio</t>
    </r>
  </si>
  <si>
    <t>Observações:</t>
  </si>
  <si>
    <t>Os itens estão com medidas, cores e espessura conforme a medida orçada.</t>
  </si>
  <si>
    <t>Instalação:</t>
  </si>
  <si>
    <t>15 dias úteis</t>
  </si>
  <si>
    <t xml:space="preserve">Garantia: </t>
  </si>
  <si>
    <t>12 mêses</t>
  </si>
  <si>
    <t>Obrigado pela preferência!</t>
  </si>
  <si>
    <t>Forma de pagamento:</t>
  </si>
  <si>
    <t>50% de entrada e 50% após a finalização do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</si>
</sst>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(* #,##0_);_(* \(#,##0\);_(* &quot;-&quot;_);_(@_)"/>
    <numFmt numFmtId="164" formatCode="_-&quot;R$&quot;\ * #,##0.00_-;\-&quot;R$&quot;\ * #,##0.00_-;_-&quot;R$&quot;\ * &quot;-&quot;??_-;_-@_-"/>
    <numFmt numFmtId="165" formatCode="[&lt;=9999999]###\-####;\(###\)\ ###\-####"/>
    <numFmt numFmtId="166" formatCode="&quot;R$&quot;\ #,##0"/>
    <numFmt numFmtId="167" formatCode="&quot;Desconto aplicado&quot;;&quot;&quot;;&quot;&quot;"/>
  </numFmts>
  <fonts count="3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26"/>
      <color theme="5"/>
      <name val="Arial"/>
      <family val="2"/>
      <scheme val="major"/>
    </font>
    <font>
      <b/>
      <sz val="12"/>
      <color theme="3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b/>
      <sz val="11"/>
      <name val="Arial"/>
      <family val="2"/>
      <scheme val="minor"/>
    </font>
    <font>
      <b/>
      <sz val="11"/>
      <color theme="3"/>
      <name val="Arial"/>
      <family val="2"/>
      <scheme val="maj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name val="Calibri"/>
      <family val="2"/>
    </font>
    <font>
      <b/>
      <sz val="10"/>
      <name val="Arial"/>
      <family val="2"/>
      <scheme val="minor"/>
    </font>
    <font>
      <sz val="12"/>
      <name val="Calibri"/>
      <family val="2"/>
    </font>
    <font>
      <b/>
      <sz val="14"/>
      <color rgb="FF002060"/>
      <name val="Arial"/>
      <family val="2"/>
      <scheme val="major"/>
    </font>
    <font>
      <sz val="26"/>
      <color rgb="FF002060"/>
      <name val="Arial"/>
      <family val="2"/>
      <scheme val="major"/>
    </font>
    <font>
      <b/>
      <sz val="9"/>
      <name val="Arial"/>
      <family val="2"/>
      <scheme val="major"/>
    </font>
    <font>
      <sz val="11"/>
      <color theme="6" tint="-0.249977111117893"/>
      <name val="Arial"/>
      <family val="2"/>
      <scheme val="minor"/>
    </font>
    <font>
      <i/>
      <sz val="11"/>
      <name val="Arial"/>
      <family val="2"/>
      <scheme val="minor"/>
    </font>
    <font>
      <b/>
      <sz val="11"/>
      <color rgb="FF000000"/>
      <name val="Arial"/>
      <scheme val="minor"/>
    </font>
    <font>
      <sz val="11"/>
      <color rgb="FF000000"/>
      <name val="Bowlby One SC"/>
    </font>
    <font>
      <b/>
      <sz val="11"/>
      <color rgb="FF000000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E5E7FB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5" tint="0.39991454817346722"/>
      </left>
      <right style="thin">
        <color theme="5" tint="0.39991454817346722"/>
      </right>
      <top style="thin">
        <color theme="5" tint="0.39991454817346722"/>
      </top>
      <bottom style="thin">
        <color theme="5" tint="0.399914548173467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theme="5" tint="0.39991454817346722"/>
      </left>
      <right/>
      <top style="thin">
        <color theme="5" tint="0.39991454817346722"/>
      </top>
      <bottom style="thin">
        <color theme="5" tint="0.39991454817346722"/>
      </bottom>
      <diagonal/>
    </border>
    <border>
      <left/>
      <right/>
      <top style="thin">
        <color theme="5" tint="0.39991454817346722"/>
      </top>
      <bottom style="thin">
        <color theme="5" tint="0.39991454817346722"/>
      </bottom>
      <diagonal/>
    </border>
    <border>
      <left/>
      <right style="thin">
        <color theme="5" tint="0.39991454817346722"/>
      </right>
      <top style="thin">
        <color theme="5" tint="0.39991454817346722"/>
      </top>
      <bottom style="thin">
        <color theme="5" tint="0.39991454817346722"/>
      </bottom>
      <diagonal/>
    </border>
  </borders>
  <cellStyleXfs count="55">
    <xf numFmtId="0" fontId="0" fillId="0" borderId="0">
      <alignment horizontal="left" vertical="center" wrapText="1" indent="1"/>
    </xf>
    <xf numFmtId="9" fontId="7" fillId="0" borderId="0" applyFont="0" applyFill="0" applyBorder="0" applyAlignment="0" applyProtection="0"/>
    <xf numFmtId="0" fontId="3" fillId="0" borderId="0" applyNumberFormat="0" applyFill="0" applyBorder="0" applyProtection="0">
      <alignment horizontal="right" vertical="center"/>
    </xf>
    <xf numFmtId="0" fontId="4" fillId="0" borderId="0" applyNumberFormat="0" applyFill="0" applyProtection="0">
      <alignment horizontal="right" vertical="center"/>
    </xf>
    <xf numFmtId="0" fontId="5" fillId="2" borderId="1" applyNumberFormat="0" applyProtection="0">
      <alignment horizontal="left" indent="1"/>
    </xf>
    <xf numFmtId="0" fontId="9" fillId="0" borderId="0" applyNumberFormat="0" applyFill="0" applyBorder="0" applyProtection="0">
      <alignment horizontal="right" vertical="center" wrapText="1"/>
    </xf>
    <xf numFmtId="0" fontId="6" fillId="0" borderId="0" applyNumberFormat="0" applyFont="0" applyFill="0" applyBorder="0" applyProtection="0">
      <alignment horizontal="left" wrapText="1" indent="1"/>
    </xf>
    <xf numFmtId="14" fontId="6" fillId="0" borderId="0" applyNumberFormat="0">
      <alignment horizontal="right" vertical="center" wrapText="1"/>
    </xf>
    <xf numFmtId="0" fontId="4" fillId="3" borderId="2" applyNumberFormat="0" applyProtection="0">
      <alignment horizontal="right" vertical="center" indent="1"/>
    </xf>
    <xf numFmtId="0" fontId="6" fillId="4" borderId="0" applyNumberFormat="0" applyProtection="0">
      <alignment horizontal="left" vertical="center" wrapText="1" indent="1"/>
    </xf>
    <xf numFmtId="0" fontId="6" fillId="0" borderId="0" applyNumberFormat="0" applyFill="0" applyBorder="0" applyProtection="0">
      <alignment horizontal="left" vertical="top" wrapText="1" indent="1"/>
    </xf>
    <xf numFmtId="0" fontId="6" fillId="0" borderId="0" applyNumberFormat="0" applyFill="0" applyBorder="0" applyProtection="0">
      <alignment horizontal="left" vertical="top" wrapText="1" indent="1"/>
    </xf>
    <xf numFmtId="3" fontId="2" fillId="0" borderId="0" applyFont="0" applyFill="0" applyBorder="0" applyProtection="0">
      <alignment horizontal="center" vertical="center"/>
    </xf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2" applyNumberFormat="0" applyFont="0" applyAlignment="0" applyProtection="0"/>
    <xf numFmtId="14" fontId="6" fillId="0" borderId="0" applyFont="0" applyFill="0" applyBorder="0" applyAlignment="0"/>
    <xf numFmtId="165" fontId="6" fillId="0" borderId="0" applyFont="0" applyFill="0" applyBorder="0">
      <alignment horizontal="left" vertical="top" indent="1"/>
    </xf>
    <xf numFmtId="10" fontId="6" fillId="0" borderId="0" applyFont="0" applyFill="0" applyBorder="0" applyAlignment="0"/>
    <xf numFmtId="0" fontId="6" fillId="0" borderId="0" applyFont="0" applyFill="0" applyBorder="0">
      <alignment horizontal="right" vertical="center" indent="1"/>
    </xf>
    <xf numFmtId="167" fontId="6" fillId="0" borderId="0" applyFont="0" applyFill="0" applyBorder="0" applyAlignment="0"/>
    <xf numFmtId="41" fontId="6" fillId="0" borderId="0" applyFon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3" applyNumberFormat="0" applyAlignment="0" applyProtection="0"/>
    <xf numFmtId="0" fontId="14" fillId="8" borderId="4" applyNumberFormat="0" applyAlignment="0" applyProtection="0"/>
    <xf numFmtId="0" fontId="15" fillId="0" borderId="5" applyNumberFormat="0" applyFill="0" applyAlignment="0" applyProtection="0"/>
    <xf numFmtId="0" fontId="16" fillId="9" borderId="6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3" borderId="0" applyNumberFormat="0" applyBorder="0" applyAlignment="0" applyProtection="0"/>
  </cellStyleXfs>
  <cellXfs count="51">
    <xf numFmtId="0" fontId="0" fillId="0" borderId="0" xfId="0">
      <alignment horizontal="left" vertical="center" wrapText="1" indent="1"/>
    </xf>
    <xf numFmtId="0" fontId="6" fillId="0" borderId="0" xfId="7" applyNumberFormat="1">
      <alignment horizontal="right" vertical="center" wrapText="1"/>
    </xf>
    <xf numFmtId="0" fontId="4" fillId="0" borderId="0" xfId="3">
      <alignment horizontal="right" vertical="center"/>
    </xf>
    <xf numFmtId="14" fontId="6" fillId="0" borderId="0" xfId="16" applyAlignment="1">
      <alignment horizontal="right" vertical="center"/>
    </xf>
    <xf numFmtId="0" fontId="6" fillId="34" borderId="0" xfId="6" applyFill="1">
      <alignment horizontal="left" wrapText="1" indent="1"/>
    </xf>
    <xf numFmtId="0" fontId="20" fillId="0" borderId="7" xfId="0" applyFont="1" applyBorder="1" applyAlignment="1">
      <alignment horizontal="center" vertical="center" wrapText="1"/>
    </xf>
    <xf numFmtId="9" fontId="21" fillId="0" borderId="7" xfId="1" applyFont="1" applyBorder="1" applyAlignment="1">
      <alignment horizontal="center" vertical="center"/>
    </xf>
    <xf numFmtId="3" fontId="0" fillId="36" borderId="7" xfId="12" applyFont="1" applyFill="1" applyBorder="1">
      <alignment horizontal="center" vertical="center"/>
    </xf>
    <xf numFmtId="0" fontId="0" fillId="36" borderId="7" xfId="0" applyFill="1" applyBorder="1">
      <alignment horizontal="left" vertical="center" wrapText="1" indent="1"/>
    </xf>
    <xf numFmtId="164" fontId="0" fillId="36" borderId="7" xfId="13" applyFont="1" applyFill="1" applyBorder="1" applyAlignment="1">
      <alignment horizontal="right" vertical="center" indent="1"/>
    </xf>
    <xf numFmtId="167" fontId="0" fillId="36" borderId="7" xfId="20" applyFont="1" applyFill="1" applyBorder="1" applyAlignment="1">
      <alignment horizontal="center" vertical="center"/>
    </xf>
    <xf numFmtId="9" fontId="25" fillId="0" borderId="7" xfId="1" applyFont="1" applyBorder="1" applyAlignment="1">
      <alignment horizontal="center" vertical="center"/>
    </xf>
    <xf numFmtId="10" fontId="7" fillId="0" borderId="7" xfId="18" applyFont="1" applyBorder="1" applyAlignment="1">
      <alignment horizontal="center" vertical="center"/>
    </xf>
    <xf numFmtId="0" fontId="26" fillId="36" borderId="7" xfId="0" applyFont="1" applyFill="1" applyBorder="1" applyAlignment="1">
      <alignment horizontal="center" vertical="center"/>
    </xf>
    <xf numFmtId="0" fontId="0" fillId="36" borderId="7" xfId="0" applyFill="1" applyBorder="1" applyAlignment="1">
      <alignment horizontal="left" vertical="center"/>
    </xf>
    <xf numFmtId="0" fontId="0" fillId="36" borderId="7" xfId="0" applyFill="1" applyBorder="1" applyAlignment="1">
      <alignment horizontal="right" vertical="center"/>
    </xf>
    <xf numFmtId="164" fontId="0" fillId="36" borderId="7" xfId="0" applyNumberFormat="1" applyFill="1" applyBorder="1" applyAlignment="1">
      <alignment horizontal="right" vertical="center"/>
    </xf>
    <xf numFmtId="0" fontId="27" fillId="0" borderId="0" xfId="0" applyFont="1">
      <alignment horizontal="left" vertical="center" wrapText="1" indent="1"/>
    </xf>
    <xf numFmtId="164" fontId="27" fillId="36" borderId="7" xfId="13" applyFont="1" applyFill="1" applyBorder="1" applyAlignment="1">
      <alignment horizontal="right" vertical="center" indent="1"/>
    </xf>
    <xf numFmtId="167" fontId="27" fillId="36" borderId="7" xfId="20" applyFont="1" applyFill="1" applyBorder="1" applyAlignment="1">
      <alignment horizontal="center" vertical="center"/>
    </xf>
    <xf numFmtId="0" fontId="0" fillId="36" borderId="7" xfId="0" applyFill="1" applyBorder="1" applyAlignment="1">
      <alignment horizontal="left" vertical="center" wrapText="1"/>
    </xf>
    <xf numFmtId="0" fontId="0" fillId="36" borderId="7" xfId="0" applyFill="1" applyBorder="1" applyAlignment="1">
      <alignment vertical="center" wrapText="1"/>
    </xf>
    <xf numFmtId="9" fontId="6" fillId="0" borderId="0" xfId="1" applyFont="1" applyBorder="1" applyAlignment="1">
      <alignment horizontal="right" vertical="center"/>
    </xf>
    <xf numFmtId="0" fontId="6" fillId="0" borderId="0" xfId="10" applyFill="1" applyBorder="1">
      <alignment horizontal="left" vertical="top" wrapText="1" indent="1"/>
    </xf>
    <xf numFmtId="9" fontId="2" fillId="0" borderId="7" xfId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30" fillId="35" borderId="8" xfId="9" applyFont="1" applyFill="1" applyBorder="1" applyAlignment="1">
      <alignment horizontal="center" vertical="center" wrapText="1"/>
    </xf>
    <xf numFmtId="0" fontId="8" fillId="35" borderId="9" xfId="9" applyFont="1" applyFill="1" applyBorder="1" applyAlignment="1">
      <alignment horizontal="center" vertical="center" wrapText="1"/>
    </xf>
    <xf numFmtId="0" fontId="8" fillId="35" borderId="10" xfId="9" applyFont="1" applyFill="1" applyBorder="1" applyAlignment="1">
      <alignment horizontal="center" vertical="center" wrapText="1"/>
    </xf>
    <xf numFmtId="0" fontId="8" fillId="35" borderId="11" xfId="9" applyFont="1" applyFill="1" applyBorder="1" applyAlignment="1">
      <alignment horizontal="center" vertical="center" wrapText="1"/>
    </xf>
    <xf numFmtId="0" fontId="8" fillId="35" borderId="12" xfId="9" applyFont="1" applyFill="1" applyBorder="1" applyAlignment="1">
      <alignment horizontal="center" vertical="center" wrapText="1"/>
    </xf>
    <xf numFmtId="0" fontId="8" fillId="35" borderId="13" xfId="9" applyFont="1" applyFill="1" applyBorder="1" applyAlignment="1">
      <alignment horizontal="center" vertical="center" wrapText="1"/>
    </xf>
    <xf numFmtId="0" fontId="6" fillId="35" borderId="7" xfId="9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6" fontId="6" fillId="0" borderId="0" xfId="14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6" fillId="0" borderId="0" xfId="10" applyFill="1" applyBorder="1" applyAlignment="1">
      <alignment vertical="top" wrapText="1"/>
    </xf>
    <xf numFmtId="0" fontId="0" fillId="0" borderId="0" xfId="0" applyAlignment="1">
      <alignment horizontal="left" vertical="center" wrapText="1" indent="1"/>
    </xf>
    <xf numFmtId="0" fontId="23" fillId="0" borderId="0" xfId="2" applyFont="1" applyAlignment="1">
      <alignment horizontal="right" vertical="center"/>
    </xf>
    <xf numFmtId="0" fontId="24" fillId="0" borderId="0" xfId="2" applyFont="1" applyAlignment="1">
      <alignment horizontal="right" vertical="center"/>
    </xf>
    <xf numFmtId="165" fontId="0" fillId="0" borderId="0" xfId="17" applyFont="1" applyAlignment="1">
      <alignment horizontal="left" vertical="top" indent="1"/>
    </xf>
    <xf numFmtId="0" fontId="4" fillId="0" borderId="0" xfId="3" applyAlignment="1">
      <alignment horizontal="right" vertical="center"/>
    </xf>
    <xf numFmtId="0" fontId="6" fillId="0" borderId="0" xfId="7" applyNumberFormat="1" applyAlignment="1">
      <alignment horizontal="right" vertical="center" wrapText="1"/>
    </xf>
    <xf numFmtId="0" fontId="6" fillId="0" borderId="0" xfId="10" applyAlignment="1">
      <alignment horizontal="left" vertical="top" wrapText="1" indent="1"/>
    </xf>
    <xf numFmtId="0" fontId="5" fillId="34" borderId="14" xfId="4" applyFill="1" applyBorder="1" applyAlignment="1">
      <alignment horizontal="left" indent="1"/>
    </xf>
    <xf numFmtId="0" fontId="5" fillId="34" borderId="15" xfId="4" applyFill="1" applyBorder="1" applyAlignment="1">
      <alignment horizontal="left" indent="1"/>
    </xf>
    <xf numFmtId="0" fontId="5" fillId="34" borderId="16" xfId="4" applyFill="1" applyBorder="1" applyAlignment="1">
      <alignment horizontal="left" indent="1"/>
    </xf>
    <xf numFmtId="0" fontId="6" fillId="0" borderId="0" xfId="10" applyFill="1" applyBorder="1" applyAlignment="1">
      <alignment horizontal="left" vertical="top" wrapText="1" indent="1"/>
    </xf>
    <xf numFmtId="0" fontId="9" fillId="0" borderId="0" xfId="5" applyAlignment="1">
      <alignment horizontal="right" vertical="center" wrapText="1"/>
    </xf>
    <xf numFmtId="0" fontId="9" fillId="0" borderId="0" xfId="5" applyBorder="1" applyAlignment="1">
      <alignment horizontal="right" vertical="center" wrapText="1"/>
    </xf>
    <xf numFmtId="165" fontId="8" fillId="0" borderId="0" xfId="17" applyFont="1" applyAlignment="1">
      <alignment horizontal="left" vertical="top" indent="1"/>
    </xf>
  </cellXfs>
  <cellStyles count="55">
    <cellStyle name="20% - Ênfase1" xfId="32" builtinId="30" customBuiltin="1"/>
    <cellStyle name="20% - Ênfase2" xfId="36" builtinId="34" customBuiltin="1"/>
    <cellStyle name="20% - Ênfase3" xfId="40" builtinId="38" customBuiltin="1"/>
    <cellStyle name="20% - Ênfase4" xfId="44" builtinId="42" customBuiltin="1"/>
    <cellStyle name="20% - Ênfase5" xfId="48" builtinId="46" customBuiltin="1"/>
    <cellStyle name="20% - Ênfase6" xfId="52" builtinId="50" customBuiltin="1"/>
    <cellStyle name="40% - Ênfase1" xfId="33" builtinId="31" customBuiltin="1"/>
    <cellStyle name="40% - Ênfase2" xfId="37" builtinId="35" customBuiltin="1"/>
    <cellStyle name="40% - Ênfase3" xfId="41" builtinId="39" customBuiltin="1"/>
    <cellStyle name="40% - Ênfase4" xfId="45" builtinId="43" customBuiltin="1"/>
    <cellStyle name="40% - Ênfase5" xfId="49" builtinId="47" customBuiltin="1"/>
    <cellStyle name="40% - Ênfase6" xfId="53" builtinId="51" customBuiltin="1"/>
    <cellStyle name="60% - Ênfase1" xfId="34" builtinId="32" customBuiltin="1"/>
    <cellStyle name="60% - Ênfase2" xfId="38" builtinId="36" customBuiltin="1"/>
    <cellStyle name="60% - Ênfase3" xfId="42" builtinId="40" customBuiltin="1"/>
    <cellStyle name="60% - Ênfase4" xfId="46" builtinId="44" customBuiltin="1"/>
    <cellStyle name="60% - Ênfase5" xfId="50" builtinId="48" customBuiltin="1"/>
    <cellStyle name="60% - Ênfase6" xfId="54" builtinId="52" customBuiltin="1"/>
    <cellStyle name="Bom" xfId="22" builtinId="26" customBuiltin="1"/>
    <cellStyle name="Cálculo" xfId="26" builtinId="22" customBuiltin="1"/>
    <cellStyle name="Célula de Verificação" xfId="28" builtinId="23" customBuiltin="1"/>
    <cellStyle name="Célula Vinculada" xfId="27" builtinId="24" customBuiltin="1"/>
    <cellStyle name="Data" xfId="16" xr:uid="{00000000-0005-0000-0000-000016000000}"/>
    <cellStyle name="Ênfase1" xfId="31" builtinId="29" customBuiltin="1"/>
    <cellStyle name="Ênfase2" xfId="35" builtinId="33" customBuiltin="1"/>
    <cellStyle name="Ênfase3" xfId="39" builtinId="37" customBuiltin="1"/>
    <cellStyle name="Ênfase4" xfId="43" builtinId="41" customBuiltin="1"/>
    <cellStyle name="Ênfase5" xfId="47" builtinId="45" customBuiltin="1"/>
    <cellStyle name="Ênfase6" xfId="51" builtinId="49" customBuiltin="1"/>
    <cellStyle name="Entrada" xfId="15" builtinId="20" customBuiltin="1"/>
    <cellStyle name="Hiperlink" xfId="10" builtinId="8" customBuiltin="1"/>
    <cellStyle name="Hiperlink Visitado" xfId="11" builtinId="9" customBuiltin="1"/>
    <cellStyle name="Icon" xfId="20" xr:uid="{00000000-0005-0000-0000-000020000000}"/>
    <cellStyle name="InvoiceDetails" xfId="7" xr:uid="{00000000-0005-0000-0000-000022000000}"/>
    <cellStyle name="Moeda" xfId="13" builtinId="4" customBuiltin="1"/>
    <cellStyle name="Moeda [0]" xfId="14" builtinId="7" customBuiltin="1"/>
    <cellStyle name="Neutro" xfId="24" builtinId="28" customBuiltin="1"/>
    <cellStyle name="Normal" xfId="0" builtinId="0" customBuiltin="1"/>
    <cellStyle name="Nota" xfId="9" builtinId="10" customBuiltin="1"/>
    <cellStyle name="Phone" xfId="17" xr:uid="{00000000-0005-0000-0000-000028000000}"/>
    <cellStyle name="Porcentagem" xfId="1" builtinId="5" customBuiltin="1"/>
    <cellStyle name="Right Indent" xfId="19" xr:uid="{00000000-0005-0000-0000-00002A000000}"/>
    <cellStyle name="Ruim" xfId="23" builtinId="27" customBuiltin="1"/>
    <cellStyle name="Saída" xfId="25" builtinId="21" customBuiltin="1"/>
    <cellStyle name="Separador de milhares [0]" xfId="21" builtinId="6" customBuiltin="1"/>
    <cellStyle name="Tax Rate" xfId="18" xr:uid="{00000000-0005-0000-0000-00002D000000}"/>
    <cellStyle name="Texto de Aviso" xfId="29" builtinId="11" customBuiltin="1"/>
    <cellStyle name="Texto Explicativo" xfId="30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8" builtinId="25" customBuiltin="1"/>
    <cellStyle name="Vírgula" xfId="12" builtinId="3" customBuiltin="1"/>
  </cellStyles>
  <dxfs count="15">
    <dxf>
      <numFmt numFmtId="167" formatCode="&quot;Desconto aplicado&quot;;&quot;&quot;;&quot;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numFmt numFmtId="16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numFmt numFmtId="16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ill>
        <patternFill patternType="solid">
          <fgColor indexed="64"/>
          <bgColor theme="0"/>
        </patternFill>
      </fill>
      <alignment horizontal="right" vertical="center" textRotation="0" wrapText="0" indent="1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249977111117893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5"/>
      </font>
      <border>
        <top style="double">
          <color theme="5"/>
        </top>
      </border>
    </dxf>
    <dxf>
      <font>
        <b/>
        <i val="0"/>
        <strike val="0"/>
        <color theme="0"/>
      </font>
      <fill>
        <patternFill patternType="solid">
          <fgColor theme="5"/>
          <bgColor theme="5"/>
        </patternFill>
      </fill>
    </dxf>
    <dxf>
      <font>
        <color theme="3"/>
      </font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</dxfs>
  <tableStyles count="1" defaultTableStyle="Sales Invoice" defaultPivotStyle="PivotStyleLight16">
    <tableStyle name="Sales Invoice" pivot="0" count="5" xr9:uid="{00000000-0011-0000-FFFF-FFFF00000000}">
      <tableStyleElement type="wholeTable" dxfId="14"/>
      <tableStyleElement type="headerRow" dxfId="13"/>
      <tableStyleElement type="totalRow" dxfId="12"/>
      <tableStyleElement type="firstRowStripe" dxfId="11"/>
      <tableStyleElement type="firstColumnStripe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DD1F7"/>
      <color rgb="FFDA5F3E"/>
      <color rgb="FFA13B1F"/>
      <color rgb="FFE5E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133353</xdr:colOff>
      <xdr:row>0</xdr:row>
      <xdr:rowOff>0</xdr:rowOff>
    </xdr:from>
    <xdr:to>
      <xdr:col>1</xdr:col>
      <xdr:colOff>1638300</xdr:colOff>
      <xdr:row>0</xdr:row>
      <xdr:rowOff>770925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3" y="0"/>
          <a:ext cx="1704972" cy="7709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hesDaFatura" displayName="DetalhesDaFatura" ref="B13:F32" totalsRowCount="1" headerRowDxfId="9">
  <autoFilter ref="B13:F31" xr:uid="{00000000-0009-0000-0100-000001000000}"/>
  <tableColumns count="5">
    <tableColumn id="1" xr3:uid="{00000000-0010-0000-0000-000001000000}" name="Quantidade" totalsRowDxfId="8" dataCellStyle="Vírgula"/>
    <tableColumn id="2" xr3:uid="{00000000-0010-0000-0000-000002000000}" name="Descrição" dataDxfId="6" totalsRowDxfId="7" dataCellStyle="Normal"/>
    <tableColumn id="3" xr3:uid="{00000000-0010-0000-0000-000003000000}" name="Preço unitário" totalsRowLabel=" Total" dataDxfId="4" totalsRowDxfId="5" dataCellStyle="Moeda"/>
    <tableColumn id="4" xr3:uid="{00000000-0010-0000-0000-000004000000}" name="Valor" totalsRowFunction="sum" dataDxfId="2" totalsRowDxfId="3" dataCellStyle="Moeda">
      <calculatedColumnFormula>DetalhesDaFatura[[#This Row],[Quantidade]]*D14</calculatedColumnFormula>
    </tableColumn>
    <tableColumn id="5" xr3:uid="{00000000-0010-0000-0000-000005000000}" name="Desconto aplicado" dataDxfId="0" totalsRowDxfId="1" dataCellStyle="Icon">
      <calculatedColumnFormula>Desconto_aplicado</calculatedColumnFormula>
    </tableColumn>
  </tableColumns>
  <tableStyleInfo name="Sales Invoice" showFirstColumn="0" showLastColumn="0" showRowStripes="1" showColumnStripes="0"/>
  <extLst>
    <ext xmlns:x14="http://schemas.microsoft.com/office/spreadsheetml/2009/9/main" uri="{504A1905-F514-4f6f-8877-14C23A59335A}">
      <x14:table altTextSummary="Insira a quantidade, a descrição e o preço unitário nesta tabela. O desconto aplicado, o valor e o saldo devido são calculados automaticamente."/>
    </ext>
  </extLst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larity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55000"/>
              </a:schemeClr>
              <a:schemeClr val="phClr">
                <a:tint val="97000"/>
                <a:satMod val="95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F36"/>
  <sheetViews>
    <sheetView showGridLines="0" tabSelected="1" topLeftCell="A10" zoomScaleNormal="100" workbookViewId="0">
      <selection activeCell="B21" sqref="B21:F31"/>
    </sheetView>
  </sheetViews>
  <sheetFormatPr defaultColWidth="9.25" defaultRowHeight="30" customHeight="1"/>
  <cols>
    <col min="1" max="1" width="2.625" customWidth="1"/>
    <col min="2" max="2" width="21.875" customWidth="1"/>
    <col min="3" max="3" width="44.5" customWidth="1"/>
    <col min="4" max="4" width="20.875" customWidth="1"/>
    <col min="5" max="5" width="17.375" customWidth="1"/>
    <col min="6" max="6" width="20.625" customWidth="1"/>
    <col min="7" max="7" width="2.625" customWidth="1"/>
  </cols>
  <sheetData>
    <row r="1" spans="1:6" ht="60.75" customHeight="1">
      <c r="B1" s="37"/>
      <c r="C1" s="37"/>
      <c r="E1" s="38" t="s">
        <v>0</v>
      </c>
      <c r="F1" s="39"/>
    </row>
    <row r="2" spans="1:6" ht="15.75" customHeight="1">
      <c r="B2" s="37" t="s">
        <v>1</v>
      </c>
      <c r="C2" s="37"/>
      <c r="E2" s="2" t="s">
        <v>2</v>
      </c>
      <c r="F2" s="3">
        <f ca="1">TODAY()</f>
        <v>46121</v>
      </c>
    </row>
    <row r="3" spans="1:6" ht="15.75" customHeight="1">
      <c r="B3" s="37" t="s">
        <v>3</v>
      </c>
      <c r="C3" s="37"/>
      <c r="E3" s="2"/>
      <c r="F3" s="1"/>
    </row>
    <row r="4" spans="1:6" ht="15.75" customHeight="1">
      <c r="B4" s="40" t="s">
        <v>4</v>
      </c>
      <c r="C4" s="40"/>
      <c r="E4" s="41"/>
      <c r="F4" s="42"/>
    </row>
    <row r="5" spans="1:6" ht="15.75" customHeight="1">
      <c r="B5" s="40" t="s">
        <v>5</v>
      </c>
      <c r="C5" s="40"/>
      <c r="E5" s="41"/>
      <c r="F5" s="42"/>
    </row>
    <row r="6" spans="1:6" ht="26.25" customHeight="1">
      <c r="B6" s="43" t="s">
        <v>6</v>
      </c>
      <c r="C6" s="43"/>
    </row>
    <row r="7" spans="1:6" ht="20.100000000000001" customHeight="1">
      <c r="B7" s="44" t="s">
        <v>7</v>
      </c>
      <c r="C7" s="45"/>
      <c r="D7" s="45"/>
      <c r="E7" s="45"/>
      <c r="F7" s="46"/>
    </row>
    <row r="8" spans="1:6" ht="20.100000000000001" customHeight="1">
      <c r="B8" s="35"/>
      <c r="C8" s="35"/>
      <c r="D8" s="47"/>
      <c r="E8" s="37"/>
      <c r="F8" s="23"/>
    </row>
    <row r="9" spans="1:6" ht="15.75" customHeight="1">
      <c r="B9" s="35"/>
      <c r="C9" s="35"/>
      <c r="D9" s="48"/>
      <c r="E9" s="49"/>
      <c r="F9" s="34"/>
    </row>
    <row r="10" spans="1:6" ht="15.95" customHeight="1">
      <c r="B10" s="35"/>
      <c r="C10" s="35"/>
      <c r="D10" s="48"/>
      <c r="E10" s="49"/>
      <c r="F10" s="34"/>
    </row>
    <row r="11" spans="1:6" ht="15.95" customHeight="1">
      <c r="B11" s="36"/>
      <c r="C11" s="35"/>
      <c r="D11" s="48"/>
      <c r="E11" s="48"/>
      <c r="F11" s="22"/>
    </row>
    <row r="12" spans="1:6" ht="26.25" customHeight="1">
      <c r="B12" s="50"/>
      <c r="C12" s="40"/>
    </row>
    <row r="13" spans="1:6" ht="29.45" customHeight="1">
      <c r="B13" s="4" t="s">
        <v>8</v>
      </c>
      <c r="C13" s="4" t="s">
        <v>9</v>
      </c>
      <c r="D13" s="4" t="s">
        <v>10</v>
      </c>
      <c r="E13" s="4" t="s">
        <v>11</v>
      </c>
      <c r="F13" s="4" t="s">
        <v>12</v>
      </c>
    </row>
    <row r="14" spans="1:6" ht="35.1" hidden="1" customHeight="1">
      <c r="A14">
        <v>45</v>
      </c>
      <c r="B14" s="7">
        <v>1</v>
      </c>
      <c r="C14" s="20" t="s">
        <v>13</v>
      </c>
      <c r="D14" s="9"/>
      <c r="E14" s="9">
        <f ca="1">DetalhesDaFatura[[#This Row],[Quantidade]]*D14</f>
        <v>0</v>
      </c>
      <c r="F14" s="9"/>
    </row>
    <row r="15" spans="1:6" ht="54.95" hidden="1" customHeight="1">
      <c r="A15">
        <v>35</v>
      </c>
      <c r="B15" s="7"/>
      <c r="C15" s="20"/>
      <c r="D15" s="9"/>
      <c r="E15" s="9">
        <f ca="1">DetalhesDaFatura[[#This Row],[Quantidade]]*D15</f>
        <v>0</v>
      </c>
      <c r="F15" s="10"/>
    </row>
    <row r="16" spans="1:6" ht="45" hidden="1" customHeight="1">
      <c r="B16" s="7"/>
      <c r="C16" s="21"/>
      <c r="D16" s="9"/>
      <c r="E16" s="9">
        <f ca="1">DetalhesDaFatura[[#This Row],[Quantidade]]*D16</f>
        <v>0</v>
      </c>
      <c r="F16" s="10"/>
    </row>
    <row r="17" spans="2:6" ht="35.1" hidden="1" customHeight="1">
      <c r="B17" s="7"/>
      <c r="C17" s="21"/>
      <c r="D17" s="9"/>
      <c r="E17" s="9">
        <f ca="1">DetalhesDaFatura[[#This Row],[Quantidade]]*D17</f>
        <v>0</v>
      </c>
      <c r="F17" s="10"/>
    </row>
    <row r="18" spans="2:6" ht="35.1" hidden="1" customHeight="1">
      <c r="B18" s="7"/>
      <c r="C18" s="21"/>
      <c r="D18" s="9"/>
      <c r="E18" s="9">
        <f ca="1">DetalhesDaFatura[[#This Row],[Quantidade]]*D18</f>
        <v>0</v>
      </c>
      <c r="F18" s="10"/>
    </row>
    <row r="19" spans="2:6" ht="35.1" customHeight="1">
      <c r="B19" s="7"/>
      <c r="C19" s="20"/>
      <c r="D19" s="9"/>
      <c r="E19" s="9">
        <f ca="1">DetalhesDaFatura[[#This Row],[Quantidade]]*D19</f>
        <v>0</v>
      </c>
      <c r="F19" s="10"/>
    </row>
    <row r="20" spans="2:6" ht="35.1" customHeight="1">
      <c r="B20" s="7"/>
      <c r="C20" s="20"/>
      <c r="D20" s="9"/>
      <c r="E20" s="9">
        <f ca="1">DetalhesDaFatura[[#This Row],[Quantidade]]*D20</f>
        <v>0</v>
      </c>
      <c r="F20" s="10"/>
    </row>
    <row r="21" spans="2:6" ht="35.1" customHeight="1">
      <c r="B21" s="7"/>
      <c r="C21" s="20"/>
      <c r="D21" s="9"/>
      <c r="E21" s="9">
        <f ca="1">DetalhesDaFatura[[#This Row],[Quantidade]]*D21</f>
        <v>0</v>
      </c>
      <c r="F21" s="10"/>
    </row>
    <row r="22" spans="2:6" ht="35.1" customHeight="1">
      <c r="B22" s="7"/>
      <c r="C22" s="20"/>
      <c r="D22" s="9"/>
      <c r="E22" s="9">
        <f ca="1">DetalhesDaFatura[[#This Row],[Quantidade]]*D22</f>
        <v>0</v>
      </c>
      <c r="F22" s="10"/>
    </row>
    <row r="23" spans="2:6" ht="35.1" customHeight="1">
      <c r="B23" s="7"/>
      <c r="C23" s="8"/>
      <c r="D23" s="9"/>
      <c r="E23" s="9">
        <f ca="1">DetalhesDaFatura[[#This Row],[Quantidade]]*D23</f>
        <v>0</v>
      </c>
      <c r="F23" s="10"/>
    </row>
    <row r="24" spans="2:6" ht="35.1" customHeight="1">
      <c r="B24" s="7"/>
      <c r="C24" s="8"/>
      <c r="D24" s="9"/>
      <c r="E24" s="9">
        <f ca="1">DetalhesDaFatura[[#This Row],[Quantidade]]*D24</f>
        <v>0</v>
      </c>
      <c r="F24" s="10"/>
    </row>
    <row r="25" spans="2:6" ht="35.1" customHeight="1">
      <c r="B25" s="7"/>
      <c r="C25" s="8"/>
      <c r="D25" s="9"/>
      <c r="E25" s="9">
        <f ca="1">DetalhesDaFatura[[#This Row],[Quantidade]]*D25</f>
        <v>0</v>
      </c>
      <c r="F25" s="10"/>
    </row>
    <row r="26" spans="2:6" ht="35.1" customHeight="1">
      <c r="B26" s="7"/>
      <c r="C26" s="8"/>
      <c r="D26" s="9"/>
      <c r="E26" s="9">
        <f ca="1">DetalhesDaFatura[[#This Row],[Quantidade]]*D26</f>
        <v>0</v>
      </c>
      <c r="F26" s="10">
        <f ca="1">Desconto_aplicado</f>
        <v>0</v>
      </c>
    </row>
    <row r="27" spans="2:6" s="17" customFormat="1" ht="35.1" customHeight="1">
      <c r="B27" s="7"/>
      <c r="C27" s="8"/>
      <c r="D27" s="18"/>
      <c r="E27" s="9">
        <f ca="1">DetalhesDaFatura[[#This Row],[Quantidade]]*D27</f>
        <v>0</v>
      </c>
      <c r="F27" s="19">
        <f ca="1">Desconto_aplicado</f>
        <v>0</v>
      </c>
    </row>
    <row r="28" spans="2:6" s="17" customFormat="1" ht="35.1" customHeight="1">
      <c r="B28" s="7"/>
      <c r="C28" s="8"/>
      <c r="D28" s="18"/>
      <c r="E28" s="9">
        <f ca="1">DetalhesDaFatura[[#This Row],[Quantidade]]*D28</f>
        <v>0</v>
      </c>
      <c r="F28" s="19">
        <f ca="1">Desconto_aplicado</f>
        <v>0</v>
      </c>
    </row>
    <row r="29" spans="2:6" s="17" customFormat="1" ht="35.1" customHeight="1">
      <c r="B29" s="7"/>
      <c r="C29" s="8"/>
      <c r="D29" s="18"/>
      <c r="E29" s="9">
        <f ca="1">DetalhesDaFatura[[#This Row],[Quantidade]]*D29</f>
        <v>0</v>
      </c>
      <c r="F29" s="19">
        <f ca="1">Desconto_aplicado</f>
        <v>0</v>
      </c>
    </row>
    <row r="30" spans="2:6" s="17" customFormat="1" ht="35.1" customHeight="1">
      <c r="B30" s="7"/>
      <c r="C30" s="8"/>
      <c r="D30" s="18"/>
      <c r="E30" s="9">
        <f ca="1">DetalhesDaFatura[[#This Row],[Quantidade]]*D30</f>
        <v>0</v>
      </c>
      <c r="F30" s="19">
        <f ca="1">Desconto_aplicado</f>
        <v>0</v>
      </c>
    </row>
    <row r="31" spans="2:6" s="17" customFormat="1" ht="35.1" customHeight="1">
      <c r="B31" s="7"/>
      <c r="C31" s="8"/>
      <c r="D31" s="18"/>
      <c r="E31" s="9">
        <f ca="1">DetalhesDaFatura[[#This Row],[Quantidade]]*D31</f>
        <v>0</v>
      </c>
      <c r="F31" s="19">
        <f ca="1">Desconto_aplicado</f>
        <v>0</v>
      </c>
    </row>
    <row r="32" spans="2:6" ht="30" customHeight="1">
      <c r="B32" s="13"/>
      <c r="C32" s="14"/>
      <c r="D32" s="13" t="s">
        <v>14</v>
      </c>
      <c r="E32" s="16">
        <f ca="1">SUBTOTAL(109,DetalhesDaFatura[Valor])</f>
        <v>0</v>
      </c>
      <c r="F32" s="15"/>
    </row>
    <row r="33" spans="2:6" ht="36" customHeight="1">
      <c r="B33" s="26" t="s">
        <v>15</v>
      </c>
      <c r="C33" s="27"/>
      <c r="D33" s="5" t="s">
        <v>16</v>
      </c>
      <c r="E33" s="33" t="s">
        <v>17</v>
      </c>
      <c r="F33" s="33"/>
    </row>
    <row r="34" spans="2:6" ht="36" customHeight="1">
      <c r="B34" s="28"/>
      <c r="C34" s="29"/>
      <c r="D34" s="12" t="s">
        <v>18</v>
      </c>
      <c r="E34" s="33" t="s">
        <v>19</v>
      </c>
      <c r="F34" s="33"/>
    </row>
    <row r="35" spans="2:6" ht="36" customHeight="1">
      <c r="B35" s="30"/>
      <c r="C35" s="31"/>
      <c r="D35" s="11" t="s">
        <v>20</v>
      </c>
      <c r="E35" s="24" t="s">
        <v>21</v>
      </c>
      <c r="F35" s="24"/>
    </row>
    <row r="36" spans="2:6" ht="36" customHeight="1">
      <c r="B36" s="32" t="s">
        <v>22</v>
      </c>
      <c r="C36" s="32"/>
      <c r="D36" s="6" t="s">
        <v>23</v>
      </c>
      <c r="E36" s="25" t="s">
        <v>24</v>
      </c>
      <c r="F36" s="25"/>
    </row>
  </sheetData>
  <sheetProtection selectLockedCells="1"/>
  <mergeCells count="25">
    <mergeCell ref="B2:C2"/>
    <mergeCell ref="B3:C3"/>
    <mergeCell ref="B4:C4"/>
    <mergeCell ref="E1:F1"/>
    <mergeCell ref="B11:C11"/>
    <mergeCell ref="B6:C6"/>
    <mergeCell ref="B1:C1"/>
    <mergeCell ref="B7:F7"/>
    <mergeCell ref="F4:F5"/>
    <mergeCell ref="E4:E5"/>
    <mergeCell ref="B10:C10"/>
    <mergeCell ref="B8:C8"/>
    <mergeCell ref="D8:E8"/>
    <mergeCell ref="E35:F35"/>
    <mergeCell ref="E36:F36"/>
    <mergeCell ref="B33:C35"/>
    <mergeCell ref="B36:C36"/>
    <mergeCell ref="B5:C5"/>
    <mergeCell ref="E33:F33"/>
    <mergeCell ref="E34:F34"/>
    <mergeCell ref="B12:C12"/>
    <mergeCell ref="D9:E10"/>
    <mergeCell ref="F9:F10"/>
    <mergeCell ref="B9:C9"/>
    <mergeCell ref="D11:E11"/>
  </mergeCells>
  <dataValidations count="29">
    <dataValidation allowBlank="1" showInputMessage="1" showErrorMessage="1" prompt="O saldo devido é calculado automaticamente nesta célula." sqref="D36" xr:uid="{00000000-0002-0000-0000-000000000000}"/>
    <dataValidation allowBlank="1" showInputMessage="1" showErrorMessage="1" prompt="Insira o percentual de desconto adicional nesta célula." sqref="D35:E35 F11" xr:uid="{00000000-0002-0000-0000-000002000000}"/>
    <dataValidation allowBlank="1" showInputMessage="1" showErrorMessage="1" prompt="O desconto aplicado será determinado automaticamente na coluna sob este cabeçalho, quando o valor na coluna E for superior ao valor inserido na célula F8." sqref="F13" xr:uid="{00000000-0002-0000-0000-000003000000}"/>
    <dataValidation allowBlank="1" showInputMessage="1" showErrorMessage="1" prompt="O valor é atualizado automaticamente na coluna sob este cabeçalho." sqref="E13" xr:uid="{00000000-0002-0000-0000-000004000000}"/>
    <dataValidation allowBlank="1" showInputMessage="1" showErrorMessage="1" prompt="Insira o preço unitário na coluna sob este cabeçalho." sqref="D13" xr:uid="{00000000-0002-0000-0000-000005000000}"/>
    <dataValidation allowBlank="1" showInputMessage="1" showErrorMessage="1" prompt="Insira a descrição nesta coluna sob esse título." sqref="C13" xr:uid="{00000000-0002-0000-0000-000006000000}"/>
    <dataValidation allowBlank="1" showInputMessage="1" showErrorMessage="1" prompt="Insira o valor pelo qual os itens se qualificam para um desconto adicional na célula à direita." sqref="D9:E10" xr:uid="{00000000-0002-0000-0000-000008000000}"/>
    <dataValidation allowBlank="1" showInputMessage="1" showErrorMessage="1" prompt="Insira o valor pelo qual os itens se qualificam para um desconto adicional nesta célula." sqref="F9:F10" xr:uid="{00000000-0002-0000-0000-000009000000}"/>
    <dataValidation allowBlank="1" showInputMessage="1" showErrorMessage="1" prompt="Insira os detalhes de cobrança nas células abaixo. Insira um valor mínimo para que os itens se qualifiquem para um desconto adicional na célula F8 e um percentual de desconto adicional na célula F10." sqref="B7:F8" xr:uid="{00000000-0002-0000-0000-00000A000000}"/>
    <dataValidation allowBlank="1" showInputMessage="1" showErrorMessage="1" prompt="Insira o nome do cliente nesta célula." sqref="B9:C10" xr:uid="{00000000-0002-0000-0000-00000B000000}"/>
    <dataValidation allowBlank="1" showInputMessage="1" showErrorMessage="1" prompt="Insira a cidade, o estado e o CEP do cliente nesta célula." sqref="B11:C11" xr:uid="{00000000-0002-0000-0000-00000E000000}"/>
    <dataValidation allowBlank="1" showInputMessage="1" showErrorMessage="1" prompt="Insira o número de telefone do cliente nesta célula." sqref="B12:C12" xr:uid="{00000000-0002-0000-0000-00000F000000}"/>
    <dataValidation allowBlank="1" showInputMessage="1" showErrorMessage="1" prompt="Insira o endereço da empresa emissora da fatura nesta célula." sqref="B2:C2" xr:uid="{00000000-0002-0000-0000-000010000000}"/>
    <dataValidation allowBlank="1" showInputMessage="1" showErrorMessage="1" prompt="Insira a cidade, o estado e o CEP nesta célula." sqref="B3:C3" xr:uid="{00000000-0002-0000-0000-000011000000}"/>
    <dataValidation allowBlank="1" showInputMessage="1" showErrorMessage="1" prompt="Insira o número de telefone nesta célula." sqref="B4:C4" xr:uid="{00000000-0002-0000-0000-000012000000}"/>
    <dataValidation allowBlank="1" showInputMessage="1" showErrorMessage="1" prompt="Insira o número do fax nesta célula." sqref="B5:C5" xr:uid="{00000000-0002-0000-0000-000013000000}"/>
    <dataValidation allowBlank="1" showInputMessage="1" showErrorMessage="1" prompt="Insira o endereço de email da empresa nesta célula." sqref="B6:C6" xr:uid="{00000000-0002-0000-0000-000014000000}"/>
    <dataValidation allowBlank="1" showInputMessage="1" showErrorMessage="1" prompt="Insira a data da fatura na célula à direita." sqref="E2" xr:uid="{00000000-0002-0000-0000-000015000000}"/>
    <dataValidation allowBlank="1" showInputMessage="1" showErrorMessage="1" prompt="Insira o número da fatura na célula à direita." sqref="E3" xr:uid="{00000000-0002-0000-0000-000016000000}"/>
    <dataValidation allowBlank="1" showInputMessage="1" showErrorMessage="1" prompt="Insira a descrição do produto da fatura na célula à direita." sqref="E4:E5" xr:uid="{00000000-0002-0000-0000-000017000000}"/>
    <dataValidation allowBlank="1" showInputMessage="1" showErrorMessage="1" prompt="Insira a descrição do produto da fatura nesta célula." sqref="F4:F5" xr:uid="{00000000-0002-0000-0000-000018000000}"/>
    <dataValidation allowBlank="1" showInputMessage="1" showErrorMessage="1" prompt="Insira o número da fatura nesta célula." sqref="F3" xr:uid="{00000000-0002-0000-0000-000019000000}"/>
    <dataValidation allowBlank="1" showInputMessage="1" showErrorMessage="1" prompt="Insira a data da fatura nesta célula." sqref="F2" xr:uid="{00000000-0002-0000-0000-00001A000000}"/>
    <dataValidation allowBlank="1" showInputMessage="1" showErrorMessage="1" prompt="Adicione o logotipo da empresa nesta célula, e o endereço, número do telefone, número do fax e email nas células abaixo. Insira os detalhes da cobrança nas células de B8 a B12." sqref="B1:C1" xr:uid="{00000000-0002-0000-0000-00001B000000}"/>
    <dataValidation allowBlank="1" showInputMessage="1" showErrorMessage="1" prompt="Crie uma fatura de vendas nesta planilha. Adicione o logotipo da empresa na célula à direita e os detalhes da fatura na tabela DetalhesDaFatura, começando pela célula B13. O saldo devido é calculado automaticamente." sqref="A1" xr:uid="{00000000-0002-0000-0000-00001C000000}"/>
    <dataValidation allowBlank="1" showInputMessage="1" showErrorMessage="1" prompt="O título desta planilha está nesta célula. Insira a data, o número e a descrição do produto da fatura nas células de E2 a F5." sqref="E1" xr:uid="{00000000-0002-0000-0000-00001D000000}"/>
    <dataValidation allowBlank="1" showInputMessage="1" showErrorMessage="1" prompt="Insira a alíquota de imposto nesta célula." sqref="D34" xr:uid="{00000000-0002-0000-0000-00001E000000}"/>
    <dataValidation allowBlank="1" showInputMessage="1" showErrorMessage="1" prompt="Modifique o número de telefone e o endereço de email no final deste demonstrativo. Substitua o nome e o telefone ou endereço de email de contato entre &lt;&gt;." sqref="B33" xr:uid="{00000000-0002-0000-0000-00001F000000}"/>
    <dataValidation allowBlank="1" showInputMessage="1" showErrorMessage="1" prompt="Insira o percentual de desconto adicional na célula à direita." sqref="D11:E11" xr:uid="{00000000-0002-0000-0000-000001000000}"/>
  </dataValidations>
  <printOptions horizontalCentered="1"/>
  <pageMargins left="0.25" right="0.25" top="0.5" bottom="0.5" header="0.3" footer="0.3"/>
  <pageSetup paperSize="9" scale="70" fitToHeight="0" orientation="portrait" r:id="rId1"/>
  <headerFooter differentFirst="1">
    <oddFooter>&amp;CPage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9" id="{A555CB75-6946-455A-8342-C2C155075AAA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F15:F30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/>
  <cp:revision/>
  <dcterms:created xsi:type="dcterms:W3CDTF">2017-09-10T06:40:17Z</dcterms:created>
  <dcterms:modified xsi:type="dcterms:W3CDTF">2026-04-10T00:25:27Z</dcterms:modified>
  <cp:category/>
  <cp:contentStatus/>
</cp:coreProperties>
</file>